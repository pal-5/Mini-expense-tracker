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pala\OneDrive\Desktop\"/>
    </mc:Choice>
  </mc:AlternateContent>
  <xr:revisionPtr revIDLastSave="0" documentId="13_ncr:1_{3607E7F1-89A4-4B89-B9B8-ED936FA6677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10" i="1"/>
  <c r="L9" i="1"/>
  <c r="L2" i="1"/>
  <c r="L8" i="1"/>
  <c r="L3" i="1"/>
  <c r="L6" i="1"/>
  <c r="L5" i="1"/>
</calcChain>
</file>

<file path=xl/sharedStrings.xml><?xml version="1.0" encoding="utf-8"?>
<sst xmlns="http://schemas.openxmlformats.org/spreadsheetml/2006/main" count="98" uniqueCount="49">
  <si>
    <t>Sno</t>
  </si>
  <si>
    <t>Amount</t>
  </si>
  <si>
    <t>Type</t>
  </si>
  <si>
    <t>Description</t>
  </si>
  <si>
    <t xml:space="preserve">Serum </t>
  </si>
  <si>
    <t>Product</t>
  </si>
  <si>
    <t>chole bhatura</t>
  </si>
  <si>
    <t xml:space="preserve"> Food</t>
  </si>
  <si>
    <t>watch</t>
  </si>
  <si>
    <t>Ice cream</t>
  </si>
  <si>
    <t>Food</t>
  </si>
  <si>
    <t>Palak sav</t>
  </si>
  <si>
    <t>Maggi</t>
  </si>
  <si>
    <t>charger</t>
  </si>
  <si>
    <t>Electricity</t>
  </si>
  <si>
    <t>Expense</t>
  </si>
  <si>
    <t>Grocery</t>
  </si>
  <si>
    <t>Travel</t>
  </si>
  <si>
    <t>Stationary</t>
  </si>
  <si>
    <t>Office</t>
  </si>
  <si>
    <t>Policy bagar</t>
  </si>
  <si>
    <t>investment</t>
  </si>
  <si>
    <t>HDFC Bank</t>
  </si>
  <si>
    <t>Investment</t>
  </si>
  <si>
    <t>School Fees</t>
  </si>
  <si>
    <t>College fees</t>
  </si>
  <si>
    <t xml:space="preserve">Average Transaction </t>
  </si>
  <si>
    <t>value</t>
  </si>
  <si>
    <t>Food Expense</t>
  </si>
  <si>
    <t>Product Expense</t>
  </si>
  <si>
    <t>Payment method</t>
  </si>
  <si>
    <t>Cash</t>
  </si>
  <si>
    <t>UPI</t>
  </si>
  <si>
    <t>UPI &amp;Cash</t>
  </si>
  <si>
    <t>UPI&amp;Cash</t>
  </si>
  <si>
    <t>Calculation</t>
  </si>
  <si>
    <t>Total  Amount</t>
  </si>
  <si>
    <t>Status</t>
  </si>
  <si>
    <t>Paid</t>
  </si>
  <si>
    <t>EMI</t>
  </si>
  <si>
    <t>Pending</t>
  </si>
  <si>
    <t>Date</t>
  </si>
  <si>
    <t>WIFI Bill</t>
  </si>
  <si>
    <t>Mobile recharge</t>
  </si>
  <si>
    <t>Clothes</t>
  </si>
  <si>
    <t>TV recharge</t>
  </si>
  <si>
    <t>Garbage bill</t>
  </si>
  <si>
    <t>Maxmimum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</si>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</sst>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arajita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1" xfId="0" applyNumberFormat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164" fontId="0" fillId="5" borderId="3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5" borderId="2" xfId="0" applyFont="1" applyFill="1" applyBorder="1"/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2" borderId="0" xfId="0" applyFont="1" applyFill="1"/>
    <xf numFmtId="0" fontId="0" fillId="3" borderId="1" xfId="0" applyFill="1" applyBorder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14" fontId="0" fillId="3" borderId="0" xfId="0" applyNumberFormat="1" applyFill="1"/>
    <xf numFmtId="14" fontId="0" fillId="3" borderId="1" xfId="0" applyNumberFormat="1" applyFill="1" applyBorder="1"/>
    <xf numFmtId="0" fontId="2" fillId="5" borderId="4" xfId="0" applyFont="1" applyFill="1" applyBorder="1"/>
    <xf numFmtId="164" fontId="0" fillId="5" borderId="3" xfId="0" applyNumberFormat="1" applyFill="1" applyBorder="1"/>
    <xf numFmtId="164" fontId="0" fillId="5" borderId="4" xfId="0" applyNumberFormat="1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116" zoomScaleNormal="116" workbookViewId="0">
      <selection activeCell="F6" sqref="F6"/>
    </sheetView>
  </sheetViews>
  <sheetFormatPr defaultRowHeight="14.5" x14ac:dyDescent="0.35"/>
  <cols>
    <col min="1" max="1" width="8.7265625" style="2"/>
    <col min="2" max="2" width="12.36328125" style="2" customWidth="1"/>
    <col min="3" max="3" width="16.7265625" style="2" customWidth="1"/>
    <col min="4" max="4" width="10.453125" style="3" bestFit="1" customWidth="1"/>
    <col min="5" max="5" width="2.81640625" hidden="1" customWidth="1"/>
    <col min="6" max="6" width="14.7265625" customWidth="1"/>
    <col min="8" max="8" width="11.7265625" style="23" bestFit="1" customWidth="1"/>
    <col min="9" max="9" width="10.26953125" style="1" bestFit="1" customWidth="1"/>
    <col min="12" max="12" width="12" bestFit="1" customWidth="1"/>
  </cols>
  <sheetData>
    <row r="1" spans="1:13" x14ac:dyDescent="0.35">
      <c r="A1" s="4" t="s">
        <v>0</v>
      </c>
      <c r="B1" s="31" t="s">
        <v>3</v>
      </c>
      <c r="C1" s="31" t="s">
        <v>2</v>
      </c>
      <c r="D1" s="5" t="s">
        <v>1</v>
      </c>
      <c r="E1" s="32" t="s">
        <v>30</v>
      </c>
      <c r="F1" s="32"/>
      <c r="G1" s="20" t="s">
        <v>37</v>
      </c>
      <c r="H1" s="22" t="s">
        <v>41</v>
      </c>
      <c r="J1" s="9" t="s">
        <v>35</v>
      </c>
      <c r="K1" s="10"/>
      <c r="L1" s="9" t="s">
        <v>1</v>
      </c>
      <c r="M1" s="10"/>
    </row>
    <row r="2" spans="1:13" ht="16" x14ac:dyDescent="0.5">
      <c r="A2" s="6">
        <v>1</v>
      </c>
      <c r="B2" s="6" t="s">
        <v>4</v>
      </c>
      <c r="C2" s="6" t="s">
        <v>5</v>
      </c>
      <c r="D2" s="7">
        <v>15</v>
      </c>
      <c r="E2" s="6"/>
      <c r="F2" s="6" t="s">
        <v>31</v>
      </c>
      <c r="G2" s="6" t="s">
        <v>38</v>
      </c>
      <c r="H2" s="24">
        <v>46156</v>
      </c>
      <c r="J2" s="11" t="s">
        <v>36</v>
      </c>
      <c r="K2" s="11"/>
      <c r="L2" s="12">
        <f>SUM(D2:D21)</f>
        <v>119655</v>
      </c>
      <c r="M2" s="13"/>
    </row>
    <row r="3" spans="1:13" ht="16" x14ac:dyDescent="0.5">
      <c r="A3" s="6">
        <v>2</v>
      </c>
      <c r="B3" s="6" t="s">
        <v>6</v>
      </c>
      <c r="C3" s="6" t="s">
        <v>7</v>
      </c>
      <c r="D3" s="7">
        <v>70</v>
      </c>
      <c r="E3" s="6"/>
      <c r="F3" s="6" t="s">
        <v>31</v>
      </c>
      <c r="G3" s="6" t="s">
        <v>38</v>
      </c>
      <c r="H3" s="24">
        <v>46190</v>
      </c>
      <c r="J3" s="11" t="s">
        <v>26</v>
      </c>
      <c r="K3" s="17"/>
      <c r="L3" s="27">
        <f>AVERAGE(D2:D21)</f>
        <v>5982.75</v>
      </c>
      <c r="M3" s="28"/>
    </row>
    <row r="4" spans="1:13" ht="16" x14ac:dyDescent="0.5">
      <c r="A4" s="6">
        <v>3</v>
      </c>
      <c r="B4" s="6" t="s">
        <v>8</v>
      </c>
      <c r="C4" s="6" t="s">
        <v>5</v>
      </c>
      <c r="D4" s="7">
        <v>2000</v>
      </c>
      <c r="E4" s="6"/>
      <c r="F4" s="6" t="s">
        <v>32</v>
      </c>
      <c r="G4" s="6" t="s">
        <v>39</v>
      </c>
      <c r="H4" s="24">
        <v>46037</v>
      </c>
      <c r="J4" s="14" t="s">
        <v>27</v>
      </c>
      <c r="K4" s="26"/>
      <c r="L4" s="29"/>
      <c r="M4" s="30"/>
    </row>
    <row r="5" spans="1:13" ht="16" x14ac:dyDescent="0.5">
      <c r="A5" s="6">
        <v>4</v>
      </c>
      <c r="B5" s="6" t="s">
        <v>9</v>
      </c>
      <c r="C5" s="6" t="s">
        <v>10</v>
      </c>
      <c r="D5" s="7">
        <v>10</v>
      </c>
      <c r="E5" s="6"/>
      <c r="F5" s="6" t="s">
        <v>31</v>
      </c>
      <c r="G5" s="6" t="s">
        <v>38</v>
      </c>
      <c r="H5" s="24">
        <v>46215</v>
      </c>
      <c r="J5" s="11" t="s">
        <v>28</v>
      </c>
      <c r="K5" s="11"/>
      <c r="L5" s="29">
        <f>SUMIF(C2:C21, "food", D2:D21)</f>
        <v>5030</v>
      </c>
      <c r="M5" s="15"/>
    </row>
    <row r="6" spans="1:13" ht="16" x14ac:dyDescent="0.5">
      <c r="A6" s="6">
        <v>5</v>
      </c>
      <c r="B6" s="6" t="s">
        <v>11</v>
      </c>
      <c r="C6" s="6" t="s">
        <v>10</v>
      </c>
      <c r="D6" s="7">
        <v>10</v>
      </c>
      <c r="E6" s="6"/>
      <c r="F6" s="6" t="s">
        <v>31</v>
      </c>
      <c r="G6" s="6" t="s">
        <v>38</v>
      </c>
      <c r="H6" s="24">
        <v>46215</v>
      </c>
      <c r="J6" s="16" t="s">
        <v>29</v>
      </c>
      <c r="K6" s="16"/>
      <c r="L6" s="33">
        <f>SUMIF(C2:C21, "product",D2:D21)</f>
        <v>2315</v>
      </c>
      <c r="M6" s="34"/>
    </row>
    <row r="7" spans="1:13" ht="16" x14ac:dyDescent="0.5">
      <c r="A7" s="6">
        <v>6</v>
      </c>
      <c r="B7" s="6" t="s">
        <v>12</v>
      </c>
      <c r="C7" s="6" t="s">
        <v>10</v>
      </c>
      <c r="D7" s="7">
        <v>10</v>
      </c>
      <c r="E7" s="6"/>
      <c r="F7" s="6" t="s">
        <v>31</v>
      </c>
      <c r="G7" s="6" t="s">
        <v>38</v>
      </c>
      <c r="H7" s="24">
        <v>46215</v>
      </c>
      <c r="J7" s="35" t="s">
        <v>23</v>
      </c>
      <c r="K7" s="36"/>
      <c r="L7" s="33">
        <f>SUMIF(C2:C21, "investment", D2:D21)</f>
        <v>21000</v>
      </c>
      <c r="M7" s="42"/>
    </row>
    <row r="8" spans="1:13" ht="16" x14ac:dyDescent="0.5">
      <c r="A8" s="6">
        <v>7</v>
      </c>
      <c r="B8" s="6" t="s">
        <v>13</v>
      </c>
      <c r="C8" s="6" t="s">
        <v>5</v>
      </c>
      <c r="D8" s="7">
        <v>300</v>
      </c>
      <c r="E8" s="6"/>
      <c r="F8" s="6" t="s">
        <v>32</v>
      </c>
      <c r="G8" s="6" t="s">
        <v>38</v>
      </c>
      <c r="H8" s="24">
        <v>46071</v>
      </c>
      <c r="J8" s="35" t="s">
        <v>15</v>
      </c>
      <c r="K8" s="36"/>
      <c r="L8" s="33">
        <f>SUMIF(C2:C21, "expense",D2:D21)</f>
        <v>91200</v>
      </c>
      <c r="M8" s="34"/>
    </row>
    <row r="9" spans="1:13" ht="16" x14ac:dyDescent="0.5">
      <c r="A9" s="6">
        <v>8</v>
      </c>
      <c r="B9" s="6" t="s">
        <v>14</v>
      </c>
      <c r="C9" s="6" t="s">
        <v>15</v>
      </c>
      <c r="D9" s="7">
        <v>2200</v>
      </c>
      <c r="E9" s="6"/>
      <c r="F9" s="6" t="s">
        <v>32</v>
      </c>
      <c r="G9" s="6" t="s">
        <v>40</v>
      </c>
      <c r="H9" s="24">
        <v>46222</v>
      </c>
      <c r="J9" s="37" t="s">
        <v>47</v>
      </c>
      <c r="K9" s="37"/>
      <c r="L9" s="38">
        <f>MAX(C2:C21, D2:D21)</f>
        <v>60000</v>
      </c>
      <c r="M9" s="39"/>
    </row>
    <row r="10" spans="1:13" ht="16" x14ac:dyDescent="0.5">
      <c r="A10" s="6">
        <v>9</v>
      </c>
      <c r="B10" s="6" t="s">
        <v>16</v>
      </c>
      <c r="C10" s="6" t="s">
        <v>10</v>
      </c>
      <c r="D10" s="7">
        <v>5000</v>
      </c>
      <c r="E10" s="6"/>
      <c r="F10" s="6" t="s">
        <v>33</v>
      </c>
      <c r="G10" s="6" t="s">
        <v>38</v>
      </c>
      <c r="H10" s="24">
        <v>46159</v>
      </c>
      <c r="J10" s="37" t="s">
        <v>48</v>
      </c>
      <c r="K10" s="37"/>
      <c r="L10" s="40">
        <f>MIN(C2:C21,D2:D21)</f>
        <v>10</v>
      </c>
      <c r="M10" s="41"/>
    </row>
    <row r="11" spans="1:13" x14ac:dyDescent="0.35">
      <c r="A11" s="6">
        <v>10</v>
      </c>
      <c r="B11" s="6" t="s">
        <v>17</v>
      </c>
      <c r="C11" s="6" t="s">
        <v>15</v>
      </c>
      <c r="D11" s="7">
        <v>10000</v>
      </c>
      <c r="E11" s="6"/>
      <c r="F11" s="6" t="s">
        <v>34</v>
      </c>
      <c r="G11" s="6" t="s">
        <v>38</v>
      </c>
      <c r="H11" s="24">
        <v>46159</v>
      </c>
    </row>
    <row r="12" spans="1:13" x14ac:dyDescent="0.35">
      <c r="A12" s="6">
        <v>11</v>
      </c>
      <c r="B12" s="6" t="s">
        <v>18</v>
      </c>
      <c r="C12" s="6" t="s">
        <v>19</v>
      </c>
      <c r="D12" s="7">
        <v>40</v>
      </c>
      <c r="E12" s="6"/>
      <c r="F12" s="6" t="s">
        <v>31</v>
      </c>
      <c r="G12" s="6" t="s">
        <v>38</v>
      </c>
      <c r="H12" s="24">
        <v>46214</v>
      </c>
    </row>
    <row r="13" spans="1:13" x14ac:dyDescent="0.35">
      <c r="A13" s="6">
        <v>12</v>
      </c>
      <c r="B13" s="6" t="s">
        <v>20</v>
      </c>
      <c r="C13" s="6" t="s">
        <v>21</v>
      </c>
      <c r="D13" s="7">
        <v>1000</v>
      </c>
      <c r="E13" s="6"/>
      <c r="F13" s="6" t="s">
        <v>32</v>
      </c>
      <c r="G13" s="6" t="s">
        <v>40</v>
      </c>
      <c r="H13" s="24">
        <v>46090</v>
      </c>
    </row>
    <row r="14" spans="1:13" x14ac:dyDescent="0.35">
      <c r="A14" s="6">
        <v>13</v>
      </c>
      <c r="B14" s="6" t="s">
        <v>22</v>
      </c>
      <c r="C14" s="6" t="s">
        <v>23</v>
      </c>
      <c r="D14" s="7">
        <v>20000</v>
      </c>
      <c r="E14" s="6"/>
      <c r="F14" s="6" t="s">
        <v>32</v>
      </c>
      <c r="G14" s="6" t="s">
        <v>40</v>
      </c>
      <c r="H14" s="24">
        <v>46083</v>
      </c>
    </row>
    <row r="15" spans="1:13" x14ac:dyDescent="0.35">
      <c r="A15" s="6">
        <v>14</v>
      </c>
      <c r="B15" s="6" t="s">
        <v>24</v>
      </c>
      <c r="C15" s="6" t="s">
        <v>15</v>
      </c>
      <c r="D15" s="7">
        <v>5000</v>
      </c>
      <c r="E15" s="6"/>
      <c r="F15" s="6" t="s">
        <v>31</v>
      </c>
      <c r="G15" s="6" t="s">
        <v>38</v>
      </c>
      <c r="H15" s="24">
        <v>46214</v>
      </c>
    </row>
    <row r="16" spans="1:13" x14ac:dyDescent="0.35">
      <c r="A16" s="6">
        <v>15</v>
      </c>
      <c r="B16" s="6" t="s">
        <v>25</v>
      </c>
      <c r="C16" s="6" t="s">
        <v>15</v>
      </c>
      <c r="D16" s="7">
        <v>60000</v>
      </c>
      <c r="E16" s="6"/>
      <c r="F16" s="6" t="s">
        <v>32</v>
      </c>
      <c r="G16" s="6" t="s">
        <v>40</v>
      </c>
      <c r="H16" s="24">
        <v>46203</v>
      </c>
    </row>
    <row r="17" spans="1:9" x14ac:dyDescent="0.35">
      <c r="A17" s="6">
        <v>16</v>
      </c>
      <c r="B17" s="6" t="s">
        <v>42</v>
      </c>
      <c r="C17" s="6" t="s">
        <v>15</v>
      </c>
      <c r="D17" s="7">
        <v>4000</v>
      </c>
      <c r="E17" s="18"/>
      <c r="F17" s="6" t="s">
        <v>32</v>
      </c>
      <c r="G17" s="6" t="s">
        <v>38</v>
      </c>
      <c r="H17" s="24">
        <v>46119</v>
      </c>
    </row>
    <row r="18" spans="1:9" x14ac:dyDescent="0.35">
      <c r="A18" s="6">
        <v>17</v>
      </c>
      <c r="B18" s="6" t="s">
        <v>46</v>
      </c>
      <c r="C18" s="6" t="s">
        <v>15</v>
      </c>
      <c r="D18" s="7">
        <v>1000</v>
      </c>
      <c r="E18" s="18"/>
      <c r="F18" s="6" t="s">
        <v>32</v>
      </c>
      <c r="G18" s="6" t="s">
        <v>40</v>
      </c>
      <c r="H18" s="24">
        <v>46121</v>
      </c>
    </row>
    <row r="19" spans="1:9" x14ac:dyDescent="0.35">
      <c r="A19" s="6">
        <v>18</v>
      </c>
      <c r="B19" s="19" t="s">
        <v>43</v>
      </c>
      <c r="C19" s="6" t="s">
        <v>15</v>
      </c>
      <c r="D19" s="7">
        <v>3000</v>
      </c>
      <c r="E19" s="18"/>
      <c r="F19" s="6" t="s">
        <v>32</v>
      </c>
      <c r="G19" s="6" t="s">
        <v>38</v>
      </c>
      <c r="H19" s="24">
        <v>46184</v>
      </c>
    </row>
    <row r="20" spans="1:9" x14ac:dyDescent="0.35">
      <c r="A20" s="6">
        <v>19</v>
      </c>
      <c r="B20" s="6" t="s">
        <v>45</v>
      </c>
      <c r="C20" s="6" t="s">
        <v>15</v>
      </c>
      <c r="D20" s="7">
        <v>2000</v>
      </c>
      <c r="E20" s="18"/>
      <c r="F20" s="6" t="s">
        <v>32</v>
      </c>
      <c r="G20" s="6" t="s">
        <v>38</v>
      </c>
      <c r="H20" s="24">
        <v>46194</v>
      </c>
    </row>
    <row r="21" spans="1:9" x14ac:dyDescent="0.35">
      <c r="A21" s="6">
        <v>20</v>
      </c>
      <c r="B21" s="6" t="s">
        <v>44</v>
      </c>
      <c r="C21" s="6" t="s">
        <v>15</v>
      </c>
      <c r="D21" s="7">
        <v>4000</v>
      </c>
      <c r="E21" s="18"/>
      <c r="F21" s="21" t="s">
        <v>31</v>
      </c>
      <c r="G21" s="21" t="s">
        <v>38</v>
      </c>
      <c r="H21" s="25">
        <v>46187</v>
      </c>
      <c r="I21" s="8"/>
    </row>
  </sheetData>
  <mergeCells count="10">
    <mergeCell ref="J10:K10"/>
    <mergeCell ref="L10:M10"/>
    <mergeCell ref="L6:M6"/>
    <mergeCell ref="L7:M7"/>
    <mergeCell ref="J7:K7"/>
    <mergeCell ref="E1:F1"/>
    <mergeCell ref="L8:M8"/>
    <mergeCell ref="J8:K8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 mogger</dc:creator>
  <cp:lastModifiedBy>anon mogger</cp:lastModifiedBy>
  <dcterms:created xsi:type="dcterms:W3CDTF">2015-06-05T18:17:20Z</dcterms:created>
  <dcterms:modified xsi:type="dcterms:W3CDTF">2026-08-12T10:37:59Z</dcterms:modified>
</cp:coreProperties>
</file>